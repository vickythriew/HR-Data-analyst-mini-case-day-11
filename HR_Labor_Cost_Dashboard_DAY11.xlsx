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TA ANALYS LEARNING\"/>
    </mc:Choice>
  </mc:AlternateContent>
  <xr:revisionPtr revIDLastSave="0" documentId="13_ncr:1_{47FBCEA4-8326-4BAF-9E2D-D12283E13B74}" xr6:coauthVersionLast="47" xr6:coauthVersionMax="47" xr10:uidLastSave="{00000000-0000-0000-0000-000000000000}"/>
  <bookViews>
    <workbookView xWindow="-108" yWindow="-108" windowWidth="23256" windowHeight="12456" activeTab="1" xr2:uid="{236C003D-3271-478D-82D5-74AFFFD5A941}"/>
  </bookViews>
  <sheets>
    <sheet name="SRCDATA" sheetId="1" r:id="rId1"/>
    <sheet name="DASHBOARD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<sst xmlns="http://schemas.openxmlformats.org/spreadsheetml/2006/main" count="71" uniqueCount="29">
  <si>
    <t>Department</t>
  </si>
  <si>
    <t>Employees</t>
  </si>
  <si>
    <t>Overtime Hours</t>
  </si>
  <si>
    <t>Resigned</t>
  </si>
  <si>
    <t>New Hires</t>
  </si>
  <si>
    <t>Attendance %</t>
  </si>
  <si>
    <t>Production Output</t>
  </si>
  <si>
    <t>Production</t>
  </si>
  <si>
    <t>Warehouse</t>
  </si>
  <si>
    <t>HR</t>
  </si>
  <si>
    <t>-</t>
  </si>
  <si>
    <t>Finance</t>
  </si>
  <si>
    <t>IT</t>
  </si>
  <si>
    <t>Grand Total</t>
  </si>
  <si>
    <t>DEPARTMENT</t>
  </si>
  <si>
    <t>TOTAL EMP</t>
  </si>
  <si>
    <t>TOTAL OVT</t>
  </si>
  <si>
    <t>TOTAL RESIGNED</t>
  </si>
  <si>
    <t>TOTAL NEW HIIRES</t>
  </si>
  <si>
    <t>AVG ATTENDANCE %</t>
  </si>
  <si>
    <t>RESIGNATION RATE</t>
  </si>
  <si>
    <t>OVT PER EMP</t>
  </si>
  <si>
    <t>NEW HIRE RAT</t>
  </si>
  <si>
    <t>OVERTIME TOTAL</t>
  </si>
  <si>
    <t>AVGATT</t>
  </si>
  <si>
    <t>RESRATE</t>
  </si>
  <si>
    <t>EMP DISTRI</t>
  </si>
  <si>
    <t>TOTAL PRODUCTION</t>
  </si>
  <si>
    <t>Sum of OVTPEREMP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</si>
</sst>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[HR_Data_Analysis_Mini_Case_Study_DAY11.xlsx]DASHBOARD!PivotTable2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Total Overtime</a:t>
            </a:r>
            <a:br>
              <a:rPr lang="en-ID"/>
            </a:br>
            <a:r>
              <a:rPr lang="en-ID"/>
              <a:t>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DASHBOARD!$A$14:$A$19</c:f>
              <c:strCache>
                <c:ptCount val="5"/>
                <c:pt idx="0">
                  <c:v>HR</c:v>
                </c:pt>
                <c:pt idx="1">
                  <c:v>Finance</c:v>
                </c:pt>
                <c:pt idx="2">
                  <c:v>IT</c:v>
                </c:pt>
                <c:pt idx="3">
                  <c:v>Warehouse</c:v>
                </c:pt>
                <c:pt idx="4">
                  <c:v>Production</c:v>
                </c:pt>
              </c:strCache>
            </c:strRef>
          </c:cat>
          <c:val>
            <c:numRef>
              <c:f>DASHBOARD!$B$14:$B$19</c:f>
              <c:numCache>
                <c:formatCode>General</c:formatCode>
                <c:ptCount val="5"/>
                <c:pt idx="0">
                  <c:v>30</c:v>
                </c:pt>
                <c:pt idx="1">
                  <c:v>50</c:v>
                </c:pt>
                <c:pt idx="2">
                  <c:v>90</c:v>
                </c:pt>
                <c:pt idx="3">
                  <c:v>360</c:v>
                </c:pt>
                <c:pt idx="4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45-4F09-ABAA-D73AE7BFA9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44100672"/>
        <c:axId val="840294896"/>
      </c:barChart>
      <c:catAx>
        <c:axId val="844100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294896"/>
        <c:crosses val="autoZero"/>
        <c:auto val="1"/>
        <c:lblAlgn val="ctr"/>
        <c:lblOffset val="100"/>
        <c:noMultiLvlLbl val="0"/>
      </c:catAx>
      <c:valAx>
        <c:axId val="84029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10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[HR_Data_Analysis_Mini_Case_Study_DAY11.xlsx]DASHBOARD!PivotTable3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Attendance </a:t>
            </a:r>
            <a:br>
              <a:rPr lang="en-US"/>
            </a:br>
            <a:r>
              <a:rPr lang="en-US"/>
              <a:t>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DASHBOARD!$B$22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DASHBOARD!$A$23:$A$28</c:f>
              <c:strCache>
                <c:ptCount val="5"/>
                <c:pt idx="0">
                  <c:v>HR</c:v>
                </c:pt>
                <c:pt idx="1">
                  <c:v>Finance</c:v>
                </c:pt>
                <c:pt idx="2">
                  <c:v>IT</c:v>
                </c:pt>
                <c:pt idx="3">
                  <c:v>Warehouse</c:v>
                </c:pt>
                <c:pt idx="4">
                  <c:v>Production</c:v>
                </c:pt>
              </c:strCache>
            </c:strRef>
          </c:cat>
          <c:val>
            <c:numRef>
              <c:f>DASHBOARD!$B$23:$B$28</c:f>
              <c:numCache>
                <c:formatCode>General</c:formatCode>
                <c:ptCount val="5"/>
                <c:pt idx="0">
                  <c:v>99</c:v>
                </c:pt>
                <c:pt idx="1">
                  <c:v>98</c:v>
                </c:pt>
                <c:pt idx="2">
                  <c:v>97</c:v>
                </c:pt>
                <c:pt idx="3">
                  <c:v>92</c:v>
                </c:pt>
                <c:pt idx="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DD-4450-8CA0-54EDE33D4C6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52425488"/>
        <c:axId val="64425520"/>
      </c:lineChart>
      <c:catAx>
        <c:axId val="85242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25520"/>
        <c:crosses val="autoZero"/>
        <c:auto val="1"/>
        <c:lblAlgn val="ctr"/>
        <c:lblOffset val="100"/>
        <c:noMultiLvlLbl val="0"/>
      </c:catAx>
      <c:valAx>
        <c:axId val="6442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42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[HR_Data_Analysis_Mini_Case_Study_DAY11.xlsx]DASHBOARD!PivotTable4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Resignation Rate (Point)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DASHBOARD!$B$31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DASHBOARD!$A$32:$A$37</c:f>
              <c:strCache>
                <c:ptCount val="5"/>
                <c:pt idx="0">
                  <c:v>Production</c:v>
                </c:pt>
                <c:pt idx="1">
                  <c:v>Warehouse</c:v>
                </c:pt>
                <c:pt idx="2">
                  <c:v>Finance</c:v>
                </c:pt>
                <c:pt idx="3">
                  <c:v>IT</c:v>
                </c:pt>
                <c:pt idx="4">
                  <c:v>HR</c:v>
                </c:pt>
              </c:strCache>
            </c:strRef>
          </c:cat>
          <c:val>
            <c:numRef>
              <c:f>DASHBOARD!$B$32:$B$37</c:f>
              <c:numCache>
                <c:formatCode>0.00</c:formatCode>
                <c:ptCount val="5"/>
                <c:pt idx="0">
                  <c:v>8.3333333333333321</c:v>
                </c:pt>
                <c:pt idx="1">
                  <c:v>7.5</c:v>
                </c:pt>
                <c:pt idx="2">
                  <c:v>4</c:v>
                </c:pt>
                <c:pt idx="3">
                  <c:v>3.3333333333333335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F-4791-AE6E-98A70E4305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52408784"/>
        <c:axId val="840268976"/>
      </c:barChart>
      <c:catAx>
        <c:axId val="852408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268976"/>
        <c:crosses val="autoZero"/>
        <c:auto val="1"/>
        <c:lblAlgn val="ctr"/>
        <c:lblOffset val="100"/>
        <c:noMultiLvlLbl val="0"/>
      </c:catAx>
      <c:valAx>
        <c:axId val="84026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40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[HR_Data_Analysis_Mini_Case_Study_DAY11.xlsx]DASHBOARD!PivotTable5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/>
              <a:t>Employee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7888874681074315"/>
          <c:y val="0.26930205698636495"/>
          <c:w val="0.42698604089911768"/>
          <c:h val="0.66643310516355847"/>
        </c:manualLayout>
      </c:layout>
      <c:pieChart>
        <c:varyColors val="1"/>
        <c:ser>
          <c:idx val="0"/>
          <c:order val="0"/>
          <c:tx>
            <c:strRef>
              <c:f>DASHBOARD!$B$40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9D1-4480-AEB2-D17B09A04F9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9D1-4480-AEB2-D17B09A04F9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9D1-4480-AEB2-D17B09A04F9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9D1-4480-AEB2-D17B09A04F9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9D1-4480-AEB2-D17B09A04F98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DASHBOARD!$A$41:$A$46</c:f>
              <c:strCache>
                <c:ptCount val="5"/>
                <c:pt idx="0">
                  <c:v>Production</c:v>
                </c:pt>
                <c:pt idx="1">
                  <c:v>Warehouse</c:v>
                </c:pt>
                <c:pt idx="2">
                  <c:v>IT</c:v>
                </c:pt>
                <c:pt idx="3">
                  <c:v>Finance</c:v>
                </c:pt>
                <c:pt idx="4">
                  <c:v>HR</c:v>
                </c:pt>
              </c:strCache>
            </c:strRef>
          </c:cat>
          <c:val>
            <c:numRef>
              <c:f>DASHBOARD!$B$41:$B$46</c:f>
              <c:numCache>
                <c:formatCode>0.00%</c:formatCode>
                <c:ptCount val="5"/>
                <c:pt idx="0">
                  <c:v>0.43636363636363634</c:v>
                </c:pt>
                <c:pt idx="1">
                  <c:v>0.29090909090909089</c:v>
                </c:pt>
                <c:pt idx="2">
                  <c:v>0.10909090909090909</c:v>
                </c:pt>
                <c:pt idx="3">
                  <c:v>9.0909090909090912E-2</c:v>
                </c:pt>
                <c:pt idx="4">
                  <c:v>7.2727272727272724E-2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A-4B18-86D2-EB065E7215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[HR_Data_Analysis_Mini_Case_Study_DAY11.xlsx]DASHBOARD!PivotTable6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Overtime Rate Per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DASHBOARD!$A$50:$A$55</c:f>
              <c:strCache>
                <c:ptCount val="5"/>
                <c:pt idx="0">
                  <c:v>HR</c:v>
                </c:pt>
                <c:pt idx="1">
                  <c:v>Finance</c:v>
                </c:pt>
                <c:pt idx="2">
                  <c:v>IT</c:v>
                </c:pt>
                <c:pt idx="3">
                  <c:v>Production</c:v>
                </c:pt>
                <c:pt idx="4">
                  <c:v>Warehouse</c:v>
                </c:pt>
              </c:strCache>
            </c:strRef>
          </c:cat>
          <c:val>
            <c:numRef>
              <c:f>DASHBOARD!$B$50:$B$55</c:f>
              <c:numCache>
                <c:formatCode>0.00</c:formatCode>
                <c:ptCount val="5"/>
                <c:pt idx="0">
                  <c:v>1.5</c:v>
                </c:pt>
                <c:pt idx="1">
                  <c:v>2</c:v>
                </c:pt>
                <c:pt idx="2">
                  <c:v>3</c:v>
                </c:pt>
                <c:pt idx="3">
                  <c:v>4.333333333333333</c:v>
                </c:pt>
                <c:pt idx="4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0-4723-A47A-10E66D2748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28471264"/>
        <c:axId val="1152055184"/>
      </c:barChart>
      <c:catAx>
        <c:axId val="1228471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055184"/>
        <c:crosses val="autoZero"/>
        <c:auto val="1"/>
        <c:lblAlgn val="ctr"/>
        <c:lblOffset val="100"/>
        <c:noMultiLvlLbl val="0"/>
      </c:catAx>
      <c:valAx>
        <c:axId val="115205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47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647700</xdr:colOff>
      <xdr:row>11</xdr:row>
      <xdr:rowOff>7620</xdr:rowOff>
    </xdr:from>
    <xdr:to>
      <xdr:col>15</xdr:col>
      <xdr:colOff>579120</xdr:colOff>
      <xdr:row>16</xdr:row>
      <xdr:rowOff>152400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80865F2-B063-2BD8-0126-277C14E56E9D}"/>
            </a:ext>
          </a:extLst>
        </xdr:cNvPr>
        <xdr:cNvSpPr/>
      </xdr:nvSpPr>
      <xdr:spPr>
        <a:xfrm>
          <a:off x="5669280" y="2019300"/>
          <a:ext cx="7703820" cy="105918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944879</xdr:colOff>
      <xdr:row>11</xdr:row>
      <xdr:rowOff>76200</xdr:rowOff>
    </xdr:from>
    <xdr:to>
      <xdr:col>6</xdr:col>
      <xdr:colOff>885974</xdr:colOff>
      <xdr:row>16</xdr:row>
      <xdr:rowOff>60960</xdr:rowOff>
    </xdr:to>
    <xdr:sp macro="" textlink="B9">
      <xdr:nvSpPr>
        <xdr:cNvPr id="3" name="TextBox 2">
          <a:extLst>
            <a:ext uri="{FF2B5EF4-FFF2-40B4-BE49-F238E27FC236}">
              <a16:creationId xmlns:a16="http://schemas.microsoft.com/office/drawing/2014/main" id="{D365B280-F31A-69DE-9C36-AC5791FBA0E3}"/>
            </a:ext>
          </a:extLst>
        </xdr:cNvPr>
        <xdr:cNvSpPr txBox="1"/>
      </xdr:nvSpPr>
      <xdr:spPr>
        <a:xfrm>
          <a:off x="5966459" y="2087880"/>
          <a:ext cx="1183155" cy="899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Aptos Narrow"/>
            </a:rPr>
            <a:t>Total Employee</a:t>
          </a:r>
          <a:br>
            <a:rPr lang="en-US" sz="1100" b="0" i="0" u="none" strike="noStrike">
              <a:solidFill>
                <a:srgbClr val="000000"/>
              </a:solidFill>
              <a:latin typeface="Aptos Narrow"/>
            </a:rPr>
          </a:br>
          <a:r>
            <a:rPr lang="en-US" sz="1100" b="0" i="0" u="none" strike="noStrike" baseline="0">
              <a:solidFill>
                <a:srgbClr val="000000"/>
              </a:solidFill>
              <a:latin typeface="Aptos Narrow"/>
            </a:rPr>
            <a:t> </a:t>
          </a:r>
          <a:endParaRPr lang="en-US" sz="2000" b="0" i="0" u="none" strike="noStrike">
            <a:solidFill>
              <a:srgbClr val="000000"/>
            </a:solidFill>
            <a:latin typeface="Aptos Narrow"/>
          </a:endParaRPr>
        </a:p>
        <a:p>
          <a:pPr algn="ctr"/>
          <a:fld id="{28430567-8BDE-415A-BAC8-08CCCAAA2DD0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ctr"/>
            <a:t>275</a:t>
          </a:fld>
          <a:endParaRPr lang="en-ID" sz="2000" b="1"/>
        </a:p>
      </xdr:txBody>
    </xdr:sp>
    <xdr:clientData/>
  </xdr:twoCellAnchor>
  <xdr:twoCellAnchor>
    <xdr:from>
      <xdr:col>7</xdr:col>
      <xdr:colOff>301533</xdr:colOff>
      <xdr:row>11</xdr:row>
      <xdr:rowOff>68580</xdr:rowOff>
    </xdr:from>
    <xdr:to>
      <xdr:col>8</xdr:col>
      <xdr:colOff>676968</xdr:colOff>
      <xdr:row>16</xdr:row>
      <xdr:rowOff>60960</xdr:rowOff>
    </xdr:to>
    <xdr:sp macro="" textlink="C9">
      <xdr:nvSpPr>
        <xdr:cNvPr id="4" name="TextBox 3">
          <a:extLst>
            <a:ext uri="{FF2B5EF4-FFF2-40B4-BE49-F238E27FC236}">
              <a16:creationId xmlns:a16="http://schemas.microsoft.com/office/drawing/2014/main" id="{5F5978EF-CA72-C1D7-595C-A69530D3BAFA}"/>
            </a:ext>
          </a:extLst>
        </xdr:cNvPr>
        <xdr:cNvSpPr txBox="1"/>
      </xdr:nvSpPr>
      <xdr:spPr>
        <a:xfrm>
          <a:off x="7965076" y="2104209"/>
          <a:ext cx="1224521" cy="9176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Aptos Narrow"/>
            </a:rPr>
            <a:t>Total</a:t>
          </a:r>
          <a:r>
            <a:rPr lang="en-US" sz="1100" b="0" i="0" u="none" strike="noStrike" baseline="0">
              <a:solidFill>
                <a:srgbClr val="000000"/>
              </a:solidFill>
              <a:latin typeface="Aptos Narrow"/>
            </a:rPr>
            <a:t> Overtime Hours</a:t>
          </a:r>
          <a:br>
            <a:rPr lang="en-US" sz="1100" b="0" i="0" u="none" strike="noStrike">
              <a:solidFill>
                <a:srgbClr val="000000"/>
              </a:solidFill>
              <a:latin typeface="Aptos Narrow"/>
            </a:rPr>
          </a:br>
          <a:fld id="{0283ABA2-361F-453E-AE5B-8C798F1CE434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ctr"/>
            <a:t>1050</a:t>
          </a:fld>
          <a:endParaRPr lang="en-ID" sz="2000" b="1"/>
        </a:p>
      </xdr:txBody>
    </xdr:sp>
    <xdr:clientData/>
  </xdr:twoCellAnchor>
  <xdr:twoCellAnchor>
    <xdr:from>
      <xdr:col>8</xdr:col>
      <xdr:colOff>1306285</xdr:colOff>
      <xdr:row>11</xdr:row>
      <xdr:rowOff>68580</xdr:rowOff>
    </xdr:from>
    <xdr:to>
      <xdr:col>9</xdr:col>
      <xdr:colOff>1130902</xdr:colOff>
      <xdr:row>16</xdr:row>
      <xdr:rowOff>53340</xdr:rowOff>
    </xdr:to>
    <xdr:sp macro="" textlink="D9">
      <xdr:nvSpPr>
        <xdr:cNvPr id="5" name="TextBox 4">
          <a:extLst>
            <a:ext uri="{FF2B5EF4-FFF2-40B4-BE49-F238E27FC236}">
              <a16:creationId xmlns:a16="http://schemas.microsoft.com/office/drawing/2014/main" id="{002DA5C8-EDD3-B882-B123-C5210B2B197B}"/>
            </a:ext>
          </a:extLst>
        </xdr:cNvPr>
        <xdr:cNvSpPr txBox="1"/>
      </xdr:nvSpPr>
      <xdr:spPr>
        <a:xfrm>
          <a:off x="9818914" y="2104209"/>
          <a:ext cx="1337731" cy="9100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Aptos Narrow"/>
            </a:rPr>
            <a:t>Total Resigned Employee</a:t>
          </a:r>
          <a:br>
            <a:rPr lang="en-US" sz="1100" b="0" i="0" u="none" strike="noStrike">
              <a:solidFill>
                <a:srgbClr val="000000"/>
              </a:solidFill>
              <a:latin typeface="Aptos Narrow"/>
            </a:rPr>
          </a:br>
          <a:fld id="{B05A9360-1ACA-487A-BCD0-FE43F55B1FCE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ctr"/>
            <a:t>18</a:t>
          </a:fld>
          <a:endParaRPr lang="en-ID" sz="2000" b="1"/>
        </a:p>
      </xdr:txBody>
    </xdr:sp>
    <xdr:clientData/>
  </xdr:twoCellAnchor>
  <xdr:twoCellAnchor>
    <xdr:from>
      <xdr:col>10</xdr:col>
      <xdr:colOff>409301</xdr:colOff>
      <xdr:row>11</xdr:row>
      <xdr:rowOff>68580</xdr:rowOff>
    </xdr:from>
    <xdr:to>
      <xdr:col>12</xdr:col>
      <xdr:colOff>373256</xdr:colOff>
      <xdr:row>16</xdr:row>
      <xdr:rowOff>53340</xdr:rowOff>
    </xdr:to>
    <xdr:sp macro="" textlink="E9">
      <xdr:nvSpPr>
        <xdr:cNvPr id="6" name="TextBox 5">
          <a:extLst>
            <a:ext uri="{FF2B5EF4-FFF2-40B4-BE49-F238E27FC236}">
              <a16:creationId xmlns:a16="http://schemas.microsoft.com/office/drawing/2014/main" id="{E6BE1CA8-3F5C-79A8-7D75-0048C8278DC5}"/>
            </a:ext>
          </a:extLst>
        </xdr:cNvPr>
        <xdr:cNvSpPr txBox="1"/>
      </xdr:nvSpPr>
      <xdr:spPr>
        <a:xfrm>
          <a:off x="11719558" y="2104209"/>
          <a:ext cx="1183155" cy="9100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Aptos Narrow"/>
            </a:rPr>
            <a:t>Total New Hire</a:t>
          </a:r>
          <a:br>
            <a:rPr lang="en-US" sz="1100" b="0" i="0" u="none" strike="noStrike">
              <a:solidFill>
                <a:srgbClr val="000000"/>
              </a:solidFill>
              <a:latin typeface="Aptos Narrow"/>
            </a:rPr>
          </a:br>
          <a:br>
            <a:rPr lang="en-US" sz="1100" b="0" i="0" u="none" strike="noStrike">
              <a:solidFill>
                <a:srgbClr val="000000"/>
              </a:solidFill>
              <a:latin typeface="Aptos Narrow"/>
            </a:rPr>
          </a:br>
          <a:fld id="{5C62ABED-0D9E-4FCF-A449-D890C3C3A1D8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ctr"/>
            <a:t>13</a:t>
          </a:fld>
          <a:endParaRPr lang="en-ID" sz="2000" b="1"/>
        </a:p>
      </xdr:txBody>
    </xdr:sp>
    <xdr:clientData/>
  </xdr:twoCellAnchor>
  <xdr:twoCellAnchor>
    <xdr:from>
      <xdr:col>13</xdr:col>
      <xdr:colOff>289559</xdr:colOff>
      <xdr:row>11</xdr:row>
      <xdr:rowOff>68580</xdr:rowOff>
    </xdr:from>
    <xdr:to>
      <xdr:col>15</xdr:col>
      <xdr:colOff>253514</xdr:colOff>
      <xdr:row>16</xdr:row>
      <xdr:rowOff>53340</xdr:rowOff>
    </xdr:to>
    <xdr:sp macro="" textlink="F9">
      <xdr:nvSpPr>
        <xdr:cNvPr id="7" name="TextBox 6">
          <a:extLst>
            <a:ext uri="{FF2B5EF4-FFF2-40B4-BE49-F238E27FC236}">
              <a16:creationId xmlns:a16="http://schemas.microsoft.com/office/drawing/2014/main" id="{002F0FA3-07E9-A939-C4E7-64694ED92829}"/>
            </a:ext>
          </a:extLst>
        </xdr:cNvPr>
        <xdr:cNvSpPr txBox="1"/>
      </xdr:nvSpPr>
      <xdr:spPr>
        <a:xfrm>
          <a:off x="11864339" y="2080260"/>
          <a:ext cx="1183155" cy="899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Aptos Narrow"/>
            </a:rPr>
            <a:t>Average Attendance</a:t>
          </a:r>
          <a:br>
            <a:rPr lang="en-US" sz="1100" b="0" i="0" u="none" strike="noStrike">
              <a:solidFill>
                <a:srgbClr val="000000"/>
              </a:solidFill>
              <a:latin typeface="Aptos Narrow"/>
            </a:rPr>
          </a:br>
          <a:fld id="{50644AB5-D170-47A6-B1AA-6BA920443FDE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ctr"/>
            <a:t>95,2</a:t>
          </a:fld>
          <a:endParaRPr lang="en-ID" sz="2000" b="1"/>
        </a:p>
      </xdr:txBody>
    </xdr:sp>
    <xdr:clientData/>
  </xdr:twoCellAnchor>
  <xdr:twoCellAnchor>
    <xdr:from>
      <xdr:col>5</xdr:col>
      <xdr:colOff>678180</xdr:colOff>
      <xdr:row>17</xdr:row>
      <xdr:rowOff>57150</xdr:rowOff>
    </xdr:from>
    <xdr:to>
      <xdr:col>9</xdr:col>
      <xdr:colOff>221671</xdr:colOff>
      <xdr:row>32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9BD3A04-50D3-42ED-B807-5028AC90E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579120</xdr:colOff>
      <xdr:row>17</xdr:row>
      <xdr:rowOff>57150</xdr:rowOff>
    </xdr:from>
    <xdr:to>
      <xdr:col>15</xdr:col>
      <xdr:colOff>586740</xdr:colOff>
      <xdr:row>32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B061D6A-4D6A-DD38-F7C7-0E0CB4D47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701040</xdr:colOff>
      <xdr:row>33</xdr:row>
      <xdr:rowOff>125730</xdr:rowOff>
    </xdr:from>
    <xdr:to>
      <xdr:col>9</xdr:col>
      <xdr:colOff>236220</xdr:colOff>
      <xdr:row>48</xdr:row>
      <xdr:rowOff>125730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2411A23-E2BD-847B-D7F5-2C920CC92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601980</xdr:colOff>
      <xdr:row>33</xdr:row>
      <xdr:rowOff>132262</xdr:rowOff>
    </xdr:from>
    <xdr:to>
      <xdr:col>15</xdr:col>
      <xdr:colOff>601980</xdr:colOff>
      <xdr:row>48</xdr:row>
      <xdr:rowOff>132262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A09E46F-9560-6C22-0CEF-F95D361A3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718458</xdr:colOff>
      <xdr:row>49</xdr:row>
      <xdr:rowOff>59871</xdr:rowOff>
    </xdr:from>
    <xdr:to>
      <xdr:col>15</xdr:col>
      <xdr:colOff>587829</xdr:colOff>
      <xdr:row>61</xdr:row>
      <xdr:rowOff>108857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5F8C5E7-05D5-5B6B-FC81-13E14A33F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04.492557986108" createdVersion="8" refreshedVersion="8" minRefreshableVersion="3" recordCount="5" xr:uid="{CB36CF10-4146-414B-801D-2E0AF99B316B}">
  <cacheSource type="worksheet">
    <worksheetSource ref="A1:G6" sheet="SRCDATA"/>
  </cacheSource>
  <cacheFields count="12">
    <cacheField name="Department" numFmtId="0">
      <sharedItems count="5">
        <s v="Production"/>
        <s v="Warehouse"/>
        <s v="HR"/>
        <s v="Finance"/>
        <s v="IT"/>
      </sharedItems>
    </cacheField>
    <cacheField name="Employees" numFmtId="0">
      <sharedItems containsSemiMixedTypes="0" containsString="0" containsNumber="1" containsInteger="1" minValue="20" maxValue="120" count="5">
        <n v="120"/>
        <n v="80"/>
        <n v="20"/>
        <n v="25"/>
        <n v="30"/>
      </sharedItems>
    </cacheField>
    <cacheField name="Overtime Hours" numFmtId="0">
      <sharedItems containsSemiMixedTypes="0" containsString="0" containsNumber="1" containsInteger="1" minValue="30" maxValue="520"/>
    </cacheField>
    <cacheField name="Resigned" numFmtId="0">
      <sharedItems containsSemiMixedTypes="0" containsString="0" containsNumber="1" containsInteger="1" minValue="0" maxValue="10"/>
    </cacheField>
    <cacheField name="New Hires" numFmtId="0">
      <sharedItems containsSemiMixedTypes="0" containsString="0" containsNumber="1" containsInteger="1" minValue="0" maxValue="8"/>
    </cacheField>
    <cacheField name="Attendance %" numFmtId="0">
      <sharedItems containsSemiMixedTypes="0" containsString="0" containsNumber="1" containsInteger="1" minValue="90" maxValue="99"/>
    </cacheField>
    <cacheField name="Production Output" numFmtId="0">
      <sharedItems containsMixedTypes="1" containsNumber="1" containsInteger="1" minValue="780" maxValue="1050"/>
    </cacheField>
    <cacheField name="RSGRATE" numFmtId="0" formula=" (Resigned/Employees)*100" databaseField="0"/>
    <cacheField name="OVTPEREMP" numFmtId="0" formula="'Overtime Hours'/Employees" databaseField="0"/>
    <cacheField name="NEWHIRE" numFmtId="0" formula="('New Hires'/Employees)*100" databaseField="0"/>
    <cacheField name="RESRAT" numFmtId="0" formula="(Resigned/Employees)*100" databaseField="0"/>
    <cacheField name="EMPDIST" numFmtId="0" formula="SUM(Employees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520"/>
    <n v="10"/>
    <n v="8"/>
    <n v="90"/>
    <n v="1050"/>
  </r>
  <r>
    <x v="1"/>
    <x v="1"/>
    <n v="360"/>
    <n v="6"/>
    <n v="4"/>
    <n v="92"/>
    <n v="780"/>
  </r>
  <r>
    <x v="2"/>
    <x v="2"/>
    <n v="30"/>
    <n v="0"/>
    <n v="1"/>
    <n v="99"/>
    <s v="-"/>
  </r>
  <r>
    <x v="3"/>
    <x v="3"/>
    <n v="50"/>
    <n v="1"/>
    <n v="0"/>
    <n v="98"/>
    <s v="-"/>
  </r>
  <r>
    <x v="4"/>
    <x v="4"/>
    <n v="90"/>
    <n v="1"/>
    <n v="0"/>
    <n v="97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95CBF-6BAB-4212-9B8E-501EA7FCCE7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Department">
  <location ref="A22:B28" firstHeaderRow="1" firstDataRow="1" firstDataCol="1"/>
  <pivotFields count="12">
    <pivotField axis="axisRow" showAll="0" sortType="descending">
      <items count="6">
        <item sd="0" x="3"/>
        <item sd="0" x="2"/>
        <item sd="0" x="4"/>
        <item sd="0" x="0"/>
        <item sd="0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0"/>
    <field x="1"/>
  </rowFields>
  <rowItems count="6">
    <i>
      <x v="1"/>
    </i>
    <i>
      <x/>
    </i>
    <i>
      <x v="2"/>
    </i>
    <i>
      <x v="4"/>
    </i>
    <i>
      <x v="3"/>
    </i>
    <i t="grand">
      <x/>
    </i>
  </rowItems>
  <colItems count="1">
    <i/>
  </colItems>
  <dataFields count="1">
    <dataField name="AVGATT" fld="5" subtotal="average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04A5A-CDA2-4CD6-9B7C-97DCAD65DF5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Department">
  <location ref="A13:B19" firstHeaderRow="1" firstDataRow="1" firstDataCol="1"/>
  <pivotFields count="12">
    <pivotField axis="axisRow" showAll="0" sortType="ascending">
      <items count="6">
        <item sd="0" x="3"/>
        <item sd="0" x="2"/>
        <item sd="0" x="4"/>
        <item sd="0" x="0"/>
        <item sd="0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6">
        <item x="2"/>
        <item x="3"/>
        <item x="4"/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0"/>
    <field x="1"/>
  </rowFields>
  <rowItems count="6">
    <i>
      <x v="1"/>
    </i>
    <i>
      <x/>
    </i>
    <i>
      <x v="2"/>
    </i>
    <i>
      <x v="4"/>
    </i>
    <i>
      <x v="3"/>
    </i>
    <i t="grand">
      <x/>
    </i>
  </rowItems>
  <colItems count="1">
    <i/>
  </colItems>
  <dataFields count="1">
    <dataField name="OVERTIME TOTAL" fld="2" baseField="0" baseItem="1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CCD397-4D7A-4293-8E43-82006CF99FD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 rowHeaderCaption="Department">
  <location ref="A49:B55" firstHeaderRow="1" firstDataRow="1" firstDataCol="1"/>
  <pivotFields count="12">
    <pivotField axis="axisRow" showAll="0" sortType="ascending">
      <items count="6">
        <item sd="0" x="3"/>
        <item sd="0" x="2"/>
        <item sd="0" x="4"/>
        <item sd="0" x="0"/>
        <item sd="0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0"/>
    <field x="1"/>
  </rowFields>
  <rowItems count="6">
    <i>
      <x v="1"/>
    </i>
    <i>
      <x/>
    </i>
    <i>
      <x v="2"/>
    </i>
    <i>
      <x v="3"/>
    </i>
    <i>
      <x v="4"/>
    </i>
    <i t="grand">
      <x/>
    </i>
  </rowItems>
  <colItems count="1">
    <i/>
  </colItems>
  <dataFields count="1">
    <dataField name="Sum of OVTPEREMP" fld="8" baseField="0" baseItem="0" numFmtId="2"/>
  </dataFields>
  <chartFormats count="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5E56B-EED6-4B3E-98D8-073404A63D6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J9" firstHeaderRow="0" firstDataRow="1" firstDataCol="1"/>
  <pivotFields count="12">
    <pivotField axis="axisRow" showAll="0">
      <items count="6">
        <item x="3"/>
        <item x="2"/>
        <item x="4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TOTAL EMP" fld="1" baseField="0" baseItem="0"/>
    <dataField name="TOTAL OVT" fld="2" baseField="0" baseItem="0"/>
    <dataField name="TOTAL RESIGNED" fld="3" baseField="0" baseItem="0"/>
    <dataField name="TOTAL NEW HIIRES" fld="4" baseField="0" baseItem="0"/>
    <dataField name="AVG ATTENDANCE %" fld="5" subtotal="average" baseField="0" baseItem="0"/>
    <dataField name="RESIGNATION RATE" fld="7" baseField="0" baseItem="0" numFmtId="2"/>
    <dataField name="OVT PER EMP" fld="8" baseField="0" baseItem="0" numFmtId="2"/>
    <dataField name="NEW HIRE RAT" fld="9" baseField="0" baseItem="0" numFmtId="2"/>
    <dataField name="TOTAL PRODUCTIO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89BED-3D68-4A28-AE9C-06C51E05164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Department">
  <location ref="A40:B46" firstHeaderRow="1" firstDataRow="1" firstDataCol="1"/>
  <pivotFields count="12">
    <pivotField axis="axisRow" showAll="0" sortType="descending">
      <items count="6">
        <item x="3"/>
        <item x="2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6">
    <i>
      <x v="3"/>
    </i>
    <i>
      <x v="4"/>
    </i>
    <i>
      <x v="2"/>
    </i>
    <i>
      <x/>
    </i>
    <i>
      <x v="1"/>
    </i>
    <i t="grand">
      <x/>
    </i>
  </rowItems>
  <colItems count="1">
    <i/>
  </colItems>
  <dataFields count="1">
    <dataField name="EMP DISTRI" fld="1" showDataAs="percentOfTotal" baseField="0" baseItem="0" numFmtId="10"/>
  </dataFields>
  <chartFormats count="6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1D4FD-ED47-4B10-B374-4CB511D8B3A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 rowHeaderCaption="Department">
  <location ref="A31:B37" firstHeaderRow="1" firstDataRow="1" firstDataCol="1"/>
  <pivotFields count="12">
    <pivotField axis="axisRow" showAll="0" sortType="descending">
      <items count="6">
        <item sd="0" x="3"/>
        <item sd="0" x="2"/>
        <item sd="0" x="4"/>
        <item sd="0" x="0"/>
        <item sd="0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2">
    <field x="0"/>
    <field x="1"/>
  </rowFields>
  <rowItems count="6">
    <i>
      <x v="3"/>
    </i>
    <i>
      <x v="4"/>
    </i>
    <i>
      <x/>
    </i>
    <i>
      <x v="2"/>
    </i>
    <i>
      <x v="1"/>
    </i>
    <i t="grand">
      <x/>
    </i>
  </rowItems>
  <colItems count="1">
    <i/>
  </colItems>
  <dataFields count="1">
    <dataField name="RESRATE" fld="10" baseField="0" baseItem="0" numFmtId="2"/>
  </dataFields>
  <chartFormats count="1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BCE02-DF9C-4576-BD48-0768C4955ADD}">
  <dimension ref="A1:G6"/>
  <sheetViews>
    <sheetView workbookViewId="0">
      <selection sqref="A1:G6"/>
    </sheetView>
  </sheetViews>
  <sheetFormatPr defaultRowHeight="14.4" x14ac:dyDescent="0.3"/>
  <cols>
    <col min="1" max="7" width="10.88671875" customWidth="1"/>
  </cols>
  <sheetData>
    <row r="1" spans="1:7" s="1" customFormat="1" ht="36" customHeight="1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6.8" customHeight="1" thickTop="1" x14ac:dyDescent="0.3">
      <c r="A2" s="4" t="s">
        <v>7</v>
      </c>
      <c r="B2" s="5">
        <v>120</v>
      </c>
      <c r="C2" s="5">
        <v>520</v>
      </c>
      <c r="D2" s="5">
        <v>10</v>
      </c>
      <c r="E2" s="5">
        <v>8</v>
      </c>
      <c r="F2" s="5">
        <v>90</v>
      </c>
      <c r="G2" s="5">
        <v>1050</v>
      </c>
    </row>
    <row r="3" spans="1:7" ht="16.8" customHeight="1" x14ac:dyDescent="0.3">
      <c r="A3" s="2" t="s">
        <v>8</v>
      </c>
      <c r="B3" s="3">
        <v>80</v>
      </c>
      <c r="C3" s="3">
        <v>360</v>
      </c>
      <c r="D3" s="3">
        <v>6</v>
      </c>
      <c r="E3" s="3">
        <v>4</v>
      </c>
      <c r="F3" s="3">
        <v>92</v>
      </c>
      <c r="G3" s="3">
        <v>780</v>
      </c>
    </row>
    <row r="4" spans="1:7" ht="16.8" customHeight="1" x14ac:dyDescent="0.3">
      <c r="A4" s="2" t="s">
        <v>9</v>
      </c>
      <c r="B4" s="3">
        <v>20</v>
      </c>
      <c r="C4" s="3">
        <v>30</v>
      </c>
      <c r="D4" s="3">
        <v>0</v>
      </c>
      <c r="E4" s="3">
        <v>1</v>
      </c>
      <c r="F4" s="3">
        <v>99</v>
      </c>
      <c r="G4" s="3" t="s">
        <v>10</v>
      </c>
    </row>
    <row r="5" spans="1:7" ht="16.8" customHeight="1" x14ac:dyDescent="0.3">
      <c r="A5" s="2" t="s">
        <v>11</v>
      </c>
      <c r="B5" s="3">
        <v>25</v>
      </c>
      <c r="C5" s="3">
        <v>50</v>
      </c>
      <c r="D5" s="3">
        <v>1</v>
      </c>
      <c r="E5" s="3">
        <v>0</v>
      </c>
      <c r="F5" s="3">
        <v>98</v>
      </c>
      <c r="G5" s="3" t="s">
        <v>10</v>
      </c>
    </row>
    <row r="6" spans="1:7" ht="16.8" customHeight="1" x14ac:dyDescent="0.3">
      <c r="A6" s="2" t="s">
        <v>12</v>
      </c>
      <c r="B6" s="3">
        <v>30</v>
      </c>
      <c r="C6" s="3">
        <v>90</v>
      </c>
      <c r="D6" s="3">
        <v>1</v>
      </c>
      <c r="E6" s="3">
        <v>0</v>
      </c>
      <c r="F6" s="3">
        <v>97</v>
      </c>
      <c r="G6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779C5-6B57-42DB-B71C-C90F7F6B950E}">
  <sheetPr>
    <pageSetUpPr fitToPage="1"/>
  </sheetPr>
  <dimension ref="A3:J55"/>
  <sheetViews>
    <sheetView tabSelected="1" topLeftCell="A26" zoomScale="70" zoomScaleNormal="70" workbookViewId="0">
      <selection activeCell="E31" sqref="E31"/>
    </sheetView>
  </sheetViews>
  <sheetFormatPr defaultRowHeight="14.4" x14ac:dyDescent="0.3"/>
  <cols>
    <col min="1" max="1" width="14.44140625" bestFit="1" customWidth="1"/>
    <col min="2" max="2" width="18" bestFit="1" customWidth="1"/>
    <col min="3" max="3" width="10.21875" bestFit="1" customWidth="1"/>
    <col min="4" max="4" width="15.77734375" bestFit="1" customWidth="1"/>
    <col min="5" max="5" width="17.21875" bestFit="1" customWidth="1"/>
    <col min="6" max="6" width="18.33203125" bestFit="1" customWidth="1"/>
    <col min="7" max="7" width="17.77734375" bestFit="1" customWidth="1"/>
    <col min="8" max="8" width="12.33203125" bestFit="1" customWidth="1"/>
    <col min="9" max="9" width="22" customWidth="1"/>
    <col min="10" max="10" width="18.6640625" bestFit="1" customWidth="1"/>
  </cols>
  <sheetData>
    <row r="3" spans="1:10" x14ac:dyDescent="0.3">
      <c r="A3" s="7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27</v>
      </c>
    </row>
    <row r="4" spans="1:10" x14ac:dyDescent="0.3">
      <c r="A4" s="8" t="s">
        <v>11</v>
      </c>
      <c r="B4">
        <v>25</v>
      </c>
      <c r="C4">
        <v>50</v>
      </c>
      <c r="D4">
        <v>1</v>
      </c>
      <c r="E4">
        <v>0</v>
      </c>
      <c r="F4">
        <v>98</v>
      </c>
      <c r="G4" s="9">
        <v>4</v>
      </c>
      <c r="H4" s="9">
        <v>2</v>
      </c>
      <c r="I4" s="9">
        <v>0</v>
      </c>
      <c r="J4">
        <v>0</v>
      </c>
    </row>
    <row r="5" spans="1:10" x14ac:dyDescent="0.3">
      <c r="A5" s="8" t="s">
        <v>9</v>
      </c>
      <c r="B5">
        <v>20</v>
      </c>
      <c r="C5">
        <v>30</v>
      </c>
      <c r="D5">
        <v>0</v>
      </c>
      <c r="E5">
        <v>1</v>
      </c>
      <c r="F5">
        <v>99</v>
      </c>
      <c r="G5" s="9">
        <v>0</v>
      </c>
      <c r="H5" s="9">
        <v>1.5</v>
      </c>
      <c r="I5" s="9">
        <v>5</v>
      </c>
      <c r="J5">
        <v>0</v>
      </c>
    </row>
    <row r="6" spans="1:10" x14ac:dyDescent="0.3">
      <c r="A6" s="8" t="s">
        <v>12</v>
      </c>
      <c r="B6">
        <v>30</v>
      </c>
      <c r="C6">
        <v>90</v>
      </c>
      <c r="D6">
        <v>1</v>
      </c>
      <c r="E6">
        <v>0</v>
      </c>
      <c r="F6">
        <v>97</v>
      </c>
      <c r="G6" s="9">
        <v>3.3333333333333335</v>
      </c>
      <c r="H6" s="9">
        <v>3</v>
      </c>
      <c r="I6" s="9">
        <v>0</v>
      </c>
      <c r="J6">
        <v>0</v>
      </c>
    </row>
    <row r="7" spans="1:10" x14ac:dyDescent="0.3">
      <c r="A7" s="8" t="s">
        <v>7</v>
      </c>
      <c r="B7">
        <v>120</v>
      </c>
      <c r="C7">
        <v>520</v>
      </c>
      <c r="D7">
        <v>10</v>
      </c>
      <c r="E7">
        <v>8</v>
      </c>
      <c r="F7">
        <v>90</v>
      </c>
      <c r="G7" s="9">
        <v>8.3333333333333321</v>
      </c>
      <c r="H7" s="9">
        <v>4.333333333333333</v>
      </c>
      <c r="I7" s="9">
        <v>6.666666666666667</v>
      </c>
      <c r="J7">
        <v>1050</v>
      </c>
    </row>
    <row r="8" spans="1:10" x14ac:dyDescent="0.3">
      <c r="A8" s="8" t="s">
        <v>8</v>
      </c>
      <c r="B8">
        <v>80</v>
      </c>
      <c r="C8">
        <v>360</v>
      </c>
      <c r="D8">
        <v>6</v>
      </c>
      <c r="E8">
        <v>4</v>
      </c>
      <c r="F8">
        <v>92</v>
      </c>
      <c r="G8" s="9">
        <v>7.5</v>
      </c>
      <c r="H8" s="9">
        <v>4.5</v>
      </c>
      <c r="I8" s="9">
        <v>5</v>
      </c>
      <c r="J8">
        <v>780</v>
      </c>
    </row>
    <row r="9" spans="1:10" x14ac:dyDescent="0.3">
      <c r="A9" s="8" t="s">
        <v>13</v>
      </c>
      <c r="B9">
        <v>275</v>
      </c>
      <c r="C9">
        <v>1050</v>
      </c>
      <c r="D9">
        <v>18</v>
      </c>
      <c r="E9">
        <v>13</v>
      </c>
      <c r="F9">
        <v>95.2</v>
      </c>
      <c r="G9" s="9">
        <v>6.5454545454545459</v>
      </c>
      <c r="H9" s="9">
        <v>3.8181818181818183</v>
      </c>
      <c r="I9" s="9">
        <v>4.7272727272727275</v>
      </c>
      <c r="J9">
        <v>1830</v>
      </c>
    </row>
    <row r="13" spans="1:10" x14ac:dyDescent="0.3">
      <c r="A13" s="7" t="s">
        <v>0</v>
      </c>
      <c r="B13" t="s">
        <v>23</v>
      </c>
    </row>
    <row r="14" spans="1:10" x14ac:dyDescent="0.3">
      <c r="A14" s="8" t="s">
        <v>9</v>
      </c>
      <c r="B14">
        <v>30</v>
      </c>
    </row>
    <row r="15" spans="1:10" x14ac:dyDescent="0.3">
      <c r="A15" s="8" t="s">
        <v>11</v>
      </c>
      <c r="B15">
        <v>50</v>
      </c>
    </row>
    <row r="16" spans="1:10" x14ac:dyDescent="0.3">
      <c r="A16" s="8" t="s">
        <v>12</v>
      </c>
      <c r="B16">
        <v>90</v>
      </c>
    </row>
    <row r="17" spans="1:2" x14ac:dyDescent="0.3">
      <c r="A17" s="8" t="s">
        <v>8</v>
      </c>
      <c r="B17">
        <v>360</v>
      </c>
    </row>
    <row r="18" spans="1:2" x14ac:dyDescent="0.3">
      <c r="A18" s="8" t="s">
        <v>7</v>
      </c>
      <c r="B18">
        <v>520</v>
      </c>
    </row>
    <row r="19" spans="1:2" x14ac:dyDescent="0.3">
      <c r="A19" s="8" t="s">
        <v>13</v>
      </c>
      <c r="B19">
        <v>1050</v>
      </c>
    </row>
    <row r="22" spans="1:2" x14ac:dyDescent="0.3">
      <c r="A22" s="7" t="s">
        <v>0</v>
      </c>
      <c r="B22" t="s">
        <v>24</v>
      </c>
    </row>
    <row r="23" spans="1:2" x14ac:dyDescent="0.3">
      <c r="A23" s="8" t="s">
        <v>9</v>
      </c>
      <c r="B23">
        <v>99</v>
      </c>
    </row>
    <row r="24" spans="1:2" x14ac:dyDescent="0.3">
      <c r="A24" s="8" t="s">
        <v>11</v>
      </c>
      <c r="B24">
        <v>98</v>
      </c>
    </row>
    <row r="25" spans="1:2" x14ac:dyDescent="0.3">
      <c r="A25" s="8" t="s">
        <v>12</v>
      </c>
      <c r="B25">
        <v>97</v>
      </c>
    </row>
    <row r="26" spans="1:2" x14ac:dyDescent="0.3">
      <c r="A26" s="8" t="s">
        <v>8</v>
      </c>
      <c r="B26">
        <v>92</v>
      </c>
    </row>
    <row r="27" spans="1:2" x14ac:dyDescent="0.3">
      <c r="A27" s="8" t="s">
        <v>7</v>
      </c>
      <c r="B27">
        <v>90</v>
      </c>
    </row>
    <row r="28" spans="1:2" x14ac:dyDescent="0.3">
      <c r="A28" s="8" t="s">
        <v>13</v>
      </c>
      <c r="B28">
        <v>95.2</v>
      </c>
    </row>
    <row r="31" spans="1:2" x14ac:dyDescent="0.3">
      <c r="A31" s="7" t="s">
        <v>0</v>
      </c>
      <c r="B31" t="s">
        <v>25</v>
      </c>
    </row>
    <row r="32" spans="1:2" x14ac:dyDescent="0.3">
      <c r="A32" s="8" t="s">
        <v>7</v>
      </c>
      <c r="B32" s="9">
        <v>8.3333333333333321</v>
      </c>
    </row>
    <row r="33" spans="1:2" x14ac:dyDescent="0.3">
      <c r="A33" s="8" t="s">
        <v>8</v>
      </c>
      <c r="B33" s="9">
        <v>7.5</v>
      </c>
    </row>
    <row r="34" spans="1:2" x14ac:dyDescent="0.3">
      <c r="A34" s="8" t="s">
        <v>11</v>
      </c>
      <c r="B34" s="9">
        <v>4</v>
      </c>
    </row>
    <row r="35" spans="1:2" x14ac:dyDescent="0.3">
      <c r="A35" s="8" t="s">
        <v>12</v>
      </c>
      <c r="B35" s="9">
        <v>3.3333333333333335</v>
      </c>
    </row>
    <row r="36" spans="1:2" x14ac:dyDescent="0.3">
      <c r="A36" s="8" t="s">
        <v>9</v>
      </c>
      <c r="B36" s="9">
        <v>0</v>
      </c>
    </row>
    <row r="37" spans="1:2" x14ac:dyDescent="0.3">
      <c r="A37" s="8" t="s">
        <v>13</v>
      </c>
      <c r="B37" s="9">
        <v>6.5454545454545459</v>
      </c>
    </row>
    <row r="40" spans="1:2" x14ac:dyDescent="0.3">
      <c r="A40" s="7" t="s">
        <v>0</v>
      </c>
      <c r="B40" t="s">
        <v>26</v>
      </c>
    </row>
    <row r="41" spans="1:2" x14ac:dyDescent="0.3">
      <c r="A41" s="8" t="s">
        <v>7</v>
      </c>
      <c r="B41" s="10">
        <v>0.43636363636363634</v>
      </c>
    </row>
    <row r="42" spans="1:2" x14ac:dyDescent="0.3">
      <c r="A42" s="8" t="s">
        <v>8</v>
      </c>
      <c r="B42" s="10">
        <v>0.29090909090909089</v>
      </c>
    </row>
    <row r="43" spans="1:2" x14ac:dyDescent="0.3">
      <c r="A43" s="8" t="s">
        <v>12</v>
      </c>
      <c r="B43" s="10">
        <v>0.10909090909090909</v>
      </c>
    </row>
    <row r="44" spans="1:2" x14ac:dyDescent="0.3">
      <c r="A44" s="8" t="s">
        <v>11</v>
      </c>
      <c r="B44" s="10">
        <v>9.0909090909090912E-2</v>
      </c>
    </row>
    <row r="45" spans="1:2" x14ac:dyDescent="0.3">
      <c r="A45" s="8" t="s">
        <v>9</v>
      </c>
      <c r="B45" s="10">
        <v>7.2727272727272724E-2</v>
      </c>
    </row>
    <row r="46" spans="1:2" x14ac:dyDescent="0.3">
      <c r="A46" s="8" t="s">
        <v>13</v>
      </c>
      <c r="B46" s="10">
        <v>1</v>
      </c>
    </row>
    <row r="49" spans="1:2" x14ac:dyDescent="0.3">
      <c r="A49" s="7" t="s">
        <v>0</v>
      </c>
      <c r="B49" t="s">
        <v>28</v>
      </c>
    </row>
    <row r="50" spans="1:2" x14ac:dyDescent="0.3">
      <c r="A50" s="8" t="s">
        <v>9</v>
      </c>
      <c r="B50" s="9">
        <v>1.5</v>
      </c>
    </row>
    <row r="51" spans="1:2" x14ac:dyDescent="0.3">
      <c r="A51" s="8" t="s">
        <v>11</v>
      </c>
      <c r="B51" s="9">
        <v>2</v>
      </c>
    </row>
    <row r="52" spans="1:2" x14ac:dyDescent="0.3">
      <c r="A52" s="8" t="s">
        <v>12</v>
      </c>
      <c r="B52" s="9">
        <v>3</v>
      </c>
    </row>
    <row r="53" spans="1:2" x14ac:dyDescent="0.3">
      <c r="A53" s="8" t="s">
        <v>7</v>
      </c>
      <c r="B53" s="9">
        <v>4.333333333333333</v>
      </c>
    </row>
    <row r="54" spans="1:2" x14ac:dyDescent="0.3">
      <c r="A54" s="8" t="s">
        <v>8</v>
      </c>
      <c r="B54" s="9">
        <v>4.5</v>
      </c>
    </row>
    <row r="55" spans="1:2" x14ac:dyDescent="0.3">
      <c r="A55" s="8" t="s">
        <v>13</v>
      </c>
      <c r="B55" s="9">
        <v>3.8181818181818183</v>
      </c>
    </row>
  </sheetData>
  <pageMargins left="0.7" right="0.7" top="0.75" bottom="0.75" header="0.3" footer="0.3"/>
  <pageSetup scale="41" orientation="portrait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SRCDATA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Fiqhan Firdaus</dc:creator>
  <cp:lastModifiedBy>Fiqhan Firdaus</cp:lastModifiedBy>
  <cp:lastPrinted>2026-07-02T02:33:31Z</cp:lastPrinted>
  <dcterms:created xsi:type="dcterms:W3CDTF">2026-07-01T04:47:46Z</dcterms:created>
  <dcterms:modified xsi:type="dcterms:W3CDTF">2026-07-02T06:04:15Z</dcterms:modified>
</cp:coreProperties>
</file>